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NEW\Desktop\GS건설\"/>
    </mc:Choice>
  </mc:AlternateContent>
  <bookViews>
    <workbookView xWindow="480" yWindow="90" windowWidth="22050" windowHeight="927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I38" i="1" l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 l="1"/>
</calcChain>
</file>

<file path=xl/sharedStrings.xml><?xml version="1.0" encoding="utf-8"?>
<sst xmlns="http://schemas.openxmlformats.org/spreadsheetml/2006/main" count="60" uniqueCount="59">
  <si>
    <t>▣ 제품 규격별/톤수별 상차 가능 수량</t>
    <phoneticPr fontId="3" type="noConversion"/>
  </si>
  <si>
    <t>(단위:매)</t>
    <phoneticPr fontId="3" type="noConversion"/>
  </si>
  <si>
    <t>A</t>
    <phoneticPr fontId="3" type="noConversion"/>
  </si>
  <si>
    <t>B</t>
    <phoneticPr fontId="3" type="noConversion"/>
  </si>
  <si>
    <t>25톤 - 20톤 ~</t>
    <phoneticPr fontId="3" type="noConversion"/>
  </si>
  <si>
    <t>제품명칭</t>
  </si>
  <si>
    <t>25톤 적재량</t>
    <phoneticPr fontId="3" type="noConversion"/>
  </si>
  <si>
    <t>비  고</t>
    <phoneticPr fontId="3" type="noConversion"/>
  </si>
  <si>
    <t>최소</t>
  </si>
  <si>
    <t>기본</t>
  </si>
  <si>
    <t>최대</t>
  </si>
  <si>
    <t>일반(방균,방수)  9.5TX900X1800</t>
  </si>
  <si>
    <t>최대 적재 여천공장에 한함</t>
    <phoneticPr fontId="3" type="noConversion"/>
  </si>
  <si>
    <t>일반(방균,방수)  9.5TX900X2400</t>
  </si>
  <si>
    <t>※ A열에 필요 수량 작성시 B열에 25톤 차량 기준의 적재율이 반영됨</t>
    <phoneticPr fontId="3" type="noConversion"/>
  </si>
  <si>
    <t>일반(방균,방수)  9.5TX900X2450</t>
  </si>
  <si>
    <t xml:space="preserve">   92~100% 까지 적재율 반영시 단독 배차 가능 합니다.</t>
    <phoneticPr fontId="3" type="noConversion"/>
  </si>
  <si>
    <t>일반(방균,방수)  9.5TX900X2500</t>
  </si>
  <si>
    <t>일반(방균,방수)  9.5TX900X2550</t>
  </si>
  <si>
    <t>※ 재고 확인의 경우 우선 문준호대리님 우선 확인후 소량 재고의 경우 추후 확인 요청 하시면 됩니다.</t>
    <phoneticPr fontId="3" type="noConversion"/>
  </si>
  <si>
    <t>일반(방균,방수)  9.5TX900X2600</t>
  </si>
  <si>
    <t>- 익일 17시까지 전달해 드립니다.</t>
    <phoneticPr fontId="3" type="noConversion"/>
  </si>
  <si>
    <t>일반(방균,방수)  9.5TX900X2650</t>
  </si>
  <si>
    <t>- 생산일정의 경우도 문준호대리님께 확인 하시면 됩니다.</t>
    <phoneticPr fontId="3" type="noConversion"/>
  </si>
  <si>
    <t>일반(방균,방수)  9.5TX900X2700</t>
  </si>
  <si>
    <t>일반(방균,방수)  12.5TX885X2430</t>
  </si>
  <si>
    <t>※ 생산일정 확인후 주문 입력시 +1일 로 생각하셔서 입력 바랍니다.</t>
    <phoneticPr fontId="3" type="noConversion"/>
  </si>
  <si>
    <t>일반(방균,방수)  12.5TX885X2730</t>
  </si>
  <si>
    <t xml:space="preserve"> ex) 2월 1일 일반 9*3*6 생산 예정 → 2월 2일부터 출고 가능</t>
    <phoneticPr fontId="3" type="noConversion"/>
  </si>
  <si>
    <t>일반(방균,방수)  12.5TX900X1800</t>
  </si>
  <si>
    <t>일반(방균,방수)  12.5TX900X2400</t>
  </si>
  <si>
    <t>※ 대죽공장의 경우 2시까지만 익일착 주문 접수가 가능하며, 당일착의 경우 오전 10시 이전에 주문이 완료 되야 협의가 가능 합니다.</t>
    <phoneticPr fontId="3" type="noConversion"/>
  </si>
  <si>
    <t>일반(방균,방수)  12.5TX900X2450</t>
  </si>
  <si>
    <t>※ 여천공장의 경우 11시까지만 익일착 주문 접수가 가능, 당일착의 경우 오전 9시 이전에 주문이 완료 되야 협의가 가능 합니다.</t>
    <phoneticPr fontId="3" type="noConversion"/>
  </si>
  <si>
    <t>일반(방균,방수)  12.5TX900X2500</t>
  </si>
  <si>
    <t>- 상기 내용의 경우 정해진 규칙은 아니나 대부분 공장 출하 마감시간 기준으로 말씀 드립니다. 참고사항으로 알고 계시면 됩니다.</t>
    <phoneticPr fontId="3" type="noConversion"/>
  </si>
  <si>
    <t>일반(방균,방수)  12.5TX900X2550</t>
  </si>
  <si>
    <t>일반(방균,방수)  12.5TX900X2600</t>
  </si>
  <si>
    <t xml:space="preserve">※ 주문 입력후 (벽산 → KCC) 전달 되는 시간이 약 5~7분 정도 소요되는바, 입력직후 유선으로 주문서 확인 및 삭제요청이 안됩니다. </t>
    <phoneticPr fontId="3" type="noConversion"/>
  </si>
  <si>
    <t>일반(방균,방수)  12.5TX900X2650</t>
  </si>
  <si>
    <t xml:space="preserve">   이점 유의 하시어 문의 하시면 됩니다. (삭제시도 위와 동일시간 적용 KCC → 벽산)</t>
    <phoneticPr fontId="3" type="noConversion"/>
  </si>
  <si>
    <t>일반(방균,방수)  12.5TX900X2700</t>
  </si>
  <si>
    <t>일반(방균,방수)  12.5TX1200X1800</t>
  </si>
  <si>
    <t>※ 석고보드 샘플 요청시 이메일로 전달 하시기 바랍니다.</t>
    <phoneticPr fontId="3" type="noConversion"/>
  </si>
  <si>
    <t>일반(방균,방수)  12.5TX1220X2440</t>
  </si>
  <si>
    <t>일반(방균,방수)  15TX900X1800</t>
  </si>
  <si>
    <t xml:space="preserve">※ 날짜가 지난 주문서는 재사용 불가 합니다. </t>
    <phoneticPr fontId="3" type="noConversion"/>
  </si>
  <si>
    <t>일반(방균,방수)  15TX1200X1800</t>
  </si>
  <si>
    <t>방화(차음)  12.5TX900X1800</t>
    <phoneticPr fontId="3" type="noConversion"/>
  </si>
  <si>
    <t>방화(차음)  12.5TX900X2650</t>
    <phoneticPr fontId="3" type="noConversion"/>
  </si>
  <si>
    <t>방화(차음)  15TX900X1800</t>
  </si>
  <si>
    <t>방화  19TX900X1800</t>
  </si>
  <si>
    <t>방화  25TX600X1800</t>
  </si>
  <si>
    <t>방화  12.5TX1200X1800</t>
  </si>
  <si>
    <t>방화  15TX1200X1800</t>
  </si>
  <si>
    <t>방화  19TX1200X1800</t>
  </si>
  <si>
    <t>석고 본드(Kg)</t>
    <phoneticPr fontId="3" type="noConversion"/>
  </si>
  <si>
    <t>고강도 일반 12 900 1800</t>
    <phoneticPr fontId="3" type="noConversion"/>
  </si>
  <si>
    <t>고강도 전방수 12 900 1800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</si>
</sst>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;[Red]\-#,##0\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4B413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2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indexed="64"/>
      </right>
      <top style="thin">
        <color rgb="FF000000"/>
      </top>
      <bottom style="hair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indexed="64"/>
      </right>
      <top style="hair">
        <color rgb="FF000000"/>
      </top>
      <bottom style="hair">
        <color rgb="FF000000"/>
      </bottom>
      <diagonal/>
    </border>
    <border>
      <left style="dotted">
        <color indexed="64"/>
      </left>
      <right style="dotted">
        <color indexed="64"/>
      </right>
      <top style="hair">
        <color rgb="FF000000"/>
      </top>
      <bottom style="hair">
        <color rgb="FF000000"/>
      </bottom>
      <diagonal/>
    </border>
    <border>
      <left style="dotted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dotted">
        <color indexed="64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indexed="64"/>
      </right>
      <top style="hair">
        <color rgb="FF000000"/>
      </top>
      <bottom/>
      <diagonal/>
    </border>
    <border>
      <left style="dotted">
        <color indexed="64"/>
      </left>
      <right style="dotted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indexed="64"/>
      </right>
      <top style="hair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9" fontId="4" fillId="0" borderId="0" xfId="2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9" fontId="5" fillId="0" borderId="0" xfId="2" applyFont="1" applyAlignment="1">
      <alignment horizontal="center" vertical="center"/>
    </xf>
    <xf numFmtId="0" fontId="5" fillId="0" borderId="0" xfId="0" applyFont="1">
      <alignment vertical="center"/>
    </xf>
    <xf numFmtId="9" fontId="5" fillId="0" borderId="0" xfId="2" applyFont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left" vertical="center"/>
    </xf>
    <xf numFmtId="176" fontId="4" fillId="4" borderId="11" xfId="0" applyNumberFormat="1" applyFont="1" applyFill="1" applyBorder="1">
      <alignment vertical="center"/>
    </xf>
    <xf numFmtId="176" fontId="4" fillId="4" borderId="12" xfId="0" applyNumberFormat="1" applyFont="1" applyFill="1" applyBorder="1">
      <alignment vertical="center"/>
    </xf>
    <xf numFmtId="0" fontId="4" fillId="0" borderId="13" xfId="0" applyFont="1" applyBorder="1">
      <alignment vertical="center"/>
    </xf>
    <xf numFmtId="49" fontId="7" fillId="3" borderId="14" xfId="0" applyNumberFormat="1" applyFont="1" applyFill="1" applyBorder="1" applyAlignment="1">
      <alignment horizontal="left" vertical="center"/>
    </xf>
    <xf numFmtId="176" fontId="4" fillId="4" borderId="15" xfId="0" applyNumberFormat="1" applyFont="1" applyFill="1" applyBorder="1">
      <alignment vertical="center"/>
    </xf>
    <xf numFmtId="176" fontId="4" fillId="4" borderId="16" xfId="0" applyNumberFormat="1" applyFont="1" applyFill="1" applyBorder="1">
      <alignment vertical="center"/>
    </xf>
    <xf numFmtId="176" fontId="4" fillId="4" borderId="17" xfId="0" applyNumberFormat="1" applyFont="1" applyFill="1" applyBorder="1">
      <alignment vertical="center"/>
    </xf>
    <xf numFmtId="0" fontId="4" fillId="0" borderId="18" xfId="0" applyFont="1" applyBorder="1">
      <alignment vertical="center"/>
    </xf>
    <xf numFmtId="0" fontId="4" fillId="0" borderId="0" xfId="0" quotePrefix="1" applyFont="1">
      <alignment vertical="center"/>
    </xf>
    <xf numFmtId="49" fontId="7" fillId="3" borderId="19" xfId="0" applyNumberFormat="1" applyFont="1" applyFill="1" applyBorder="1" applyAlignment="1">
      <alignment horizontal="left" vertical="center"/>
    </xf>
    <xf numFmtId="176" fontId="4" fillId="4" borderId="20" xfId="0" applyNumberFormat="1" applyFont="1" applyFill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0" xfId="0" quotePrefix="1" applyFont="1" applyAlignment="1">
      <alignment vertical="center"/>
    </xf>
    <xf numFmtId="49" fontId="7" fillId="5" borderId="14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left" vertical="center" wrapText="1"/>
    </xf>
    <xf numFmtId="176" fontId="4" fillId="4" borderId="23" xfId="0" applyNumberFormat="1" applyFont="1" applyFill="1" applyBorder="1">
      <alignment vertical="center"/>
    </xf>
    <xf numFmtId="176" fontId="4" fillId="4" borderId="24" xfId="0" applyNumberFormat="1" applyFont="1" applyFill="1" applyBorder="1">
      <alignment vertical="center"/>
    </xf>
    <xf numFmtId="49" fontId="7" fillId="3" borderId="25" xfId="0" applyNumberFormat="1" applyFont="1" applyFill="1" applyBorder="1" applyAlignment="1">
      <alignment horizontal="left" vertical="center"/>
    </xf>
    <xf numFmtId="176" fontId="4" fillId="4" borderId="26" xfId="0" applyNumberFormat="1" applyFont="1" applyFill="1" applyBorder="1">
      <alignment vertical="center"/>
    </xf>
    <xf numFmtId="176" fontId="4" fillId="4" borderId="27" xfId="0" applyNumberFormat="1" applyFont="1" applyFill="1" applyBorder="1">
      <alignment vertical="center"/>
    </xf>
    <xf numFmtId="0" fontId="4" fillId="0" borderId="28" xfId="0" applyFont="1" applyBorder="1">
      <alignment vertical="center"/>
    </xf>
    <xf numFmtId="41" fontId="4" fillId="0" borderId="0" xfId="1" applyFont="1">
      <alignment vertical="center"/>
    </xf>
    <xf numFmtId="9" fontId="4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0" fontId="4" fillId="4" borderId="22" xfId="0" applyFont="1" applyFill="1" applyBorder="1">
      <alignment vertical="center"/>
    </xf>
    <xf numFmtId="0" fontId="4" fillId="4" borderId="18" xfId="0" applyFont="1" applyFill="1" applyBorder="1">
      <alignment vertical="center"/>
    </xf>
    <xf numFmtId="49" fontId="7" fillId="4" borderId="25" xfId="0" applyNumberFormat="1" applyFont="1" applyFill="1" applyBorder="1" applyAlignment="1">
      <alignment horizontal="left" vertical="center"/>
    </xf>
    <xf numFmtId="0" fontId="4" fillId="4" borderId="28" xfId="0" applyFont="1" applyFill="1" applyBorder="1">
      <alignment vertical="center"/>
    </xf>
    <xf numFmtId="49" fontId="7" fillId="4" borderId="29" xfId="0" applyNumberFormat="1" applyFont="1" applyFill="1" applyBorder="1" applyAlignment="1">
      <alignment horizontal="left" vertical="center"/>
    </xf>
    <xf numFmtId="176" fontId="4" fillId="4" borderId="30" xfId="0" applyNumberFormat="1" applyFont="1" applyFill="1" applyBorder="1">
      <alignment vertical="center"/>
    </xf>
    <xf numFmtId="176" fontId="4" fillId="4" borderId="31" xfId="0" applyNumberFormat="1" applyFont="1" applyFill="1" applyBorder="1">
      <alignment vertical="center"/>
    </xf>
    <xf numFmtId="0" fontId="4" fillId="4" borderId="32" xfId="0" applyFont="1" applyFill="1" applyBorder="1">
      <alignment vertical="center"/>
    </xf>
    <xf numFmtId="0" fontId="4" fillId="4" borderId="0" xfId="0" applyFont="1" applyFill="1">
      <alignment vertical="center"/>
    </xf>
    <xf numFmtId="0" fontId="4" fillId="0" borderId="0" xfId="0" quotePrefix="1" applyFont="1" applyAlignment="1">
      <alignment horizontal="left" vertical="center"/>
    </xf>
    <xf numFmtId="0" fontId="4" fillId="4" borderId="33" xfId="0" applyFont="1" applyFill="1" applyBorder="1">
      <alignment vertical="center"/>
    </xf>
    <xf numFmtId="0" fontId="4" fillId="0" borderId="33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371474</xdr:colOff>
      <xdr:row>2</xdr:row>
      <xdr:rowOff>180975</xdr:rowOff>
    </xdr:from>
    <xdr:to>
      <xdr:col>9</xdr:col>
      <xdr:colOff>285749</xdr:colOff>
      <xdr:row>5</xdr:row>
      <xdr:rowOff>9525</xdr:rowOff>
    </xdr:to>
    <xdr:sp macro="" textlink="">
      <xdr:nvSpPr>
        <xdr:cNvPr id="2" name="타원 1"/>
        <xdr:cNvSpPr/>
      </xdr:nvSpPr>
      <xdr:spPr>
        <a:xfrm>
          <a:off x="7130414" y="630555"/>
          <a:ext cx="1285875" cy="400050"/>
        </a:xfrm>
        <a:prstGeom prst="ellipse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000"/>
        </a:p>
      </xdr:txBody>
    </xdr:sp>
    <xdr:clientData/>
  </xdr:twoCellAnchor>
  <xdr:twoCellAnchor>
    <xdr:from>
      <xdr:col>9</xdr:col>
      <xdr:colOff>285758</xdr:colOff>
      <xdr:row>3</xdr:row>
      <xdr:rowOff>95249</xdr:rowOff>
    </xdr:from>
    <xdr:to>
      <xdr:col>10</xdr:col>
      <xdr:colOff>666750</xdr:colOff>
      <xdr:row>3</xdr:row>
      <xdr:rowOff>180972</xdr:rowOff>
    </xdr:to>
    <xdr:cxnSp macro="">
      <xdr:nvCxnSpPr>
        <xdr:cNvPr id="3" name="직선 화살표 연결선 2"/>
        <xdr:cNvCxnSpPr/>
      </xdr:nvCxnSpPr>
      <xdr:spPr>
        <a:xfrm rot="10800000" flipV="1">
          <a:off x="8416298" y="735329"/>
          <a:ext cx="1066792" cy="8572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2</xdr:row>
      <xdr:rowOff>0</xdr:rowOff>
    </xdr:from>
    <xdr:to>
      <xdr:col>12</xdr:col>
      <xdr:colOff>514350</xdr:colOff>
      <xdr:row>4</xdr:row>
      <xdr:rowOff>152400</xdr:rowOff>
    </xdr:to>
    <xdr:sp macro="" textlink="">
      <xdr:nvSpPr>
        <xdr:cNvPr id="4" name="직사각형 3"/>
        <xdr:cNvSpPr/>
      </xdr:nvSpPr>
      <xdr:spPr>
        <a:xfrm>
          <a:off x="9016365" y="449580"/>
          <a:ext cx="1685925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총 적재량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적재율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</xdr:txBody>
    </xdr:sp>
    <xdr:clientData/>
  </xdr:twoCellAnchor>
  <xdr:twoCellAnchor>
    <xdr:from>
      <xdr:col>6</xdr:col>
      <xdr:colOff>400048</xdr:colOff>
      <xdr:row>3</xdr:row>
      <xdr:rowOff>19050</xdr:rowOff>
    </xdr:from>
    <xdr:to>
      <xdr:col>8</xdr:col>
      <xdr:colOff>400049</xdr:colOff>
      <xdr:row>38</xdr:row>
      <xdr:rowOff>95250</xdr:rowOff>
    </xdr:to>
    <xdr:sp macro="" textlink="">
      <xdr:nvSpPr>
        <xdr:cNvPr id="5" name="타원 4"/>
        <xdr:cNvSpPr/>
      </xdr:nvSpPr>
      <xdr:spPr>
        <a:xfrm rot="5400000">
          <a:off x="3787139" y="3345179"/>
          <a:ext cx="6743700" cy="1371601"/>
        </a:xfrm>
        <a:prstGeom prst="ellipse">
          <a:avLst/>
        </a:prstGeom>
        <a:noFill/>
        <a:ln w="3175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000"/>
        </a:p>
      </xdr:txBody>
    </xdr:sp>
    <xdr:clientData/>
  </xdr:twoCellAnchor>
  <xdr:twoCellAnchor>
    <xdr:from>
      <xdr:col>8</xdr:col>
      <xdr:colOff>400051</xdr:colOff>
      <xdr:row>19</xdr:row>
      <xdr:rowOff>95250</xdr:rowOff>
    </xdr:from>
    <xdr:to>
      <xdr:col>10</xdr:col>
      <xdr:colOff>28580</xdr:colOff>
      <xdr:row>20</xdr:row>
      <xdr:rowOff>152400</xdr:rowOff>
    </xdr:to>
    <xdr:cxnSp macro="">
      <xdr:nvCxnSpPr>
        <xdr:cNvPr id="6" name="직선 화살표 연결선 5"/>
        <xdr:cNvCxnSpPr>
          <a:endCxn id="5" idx="0"/>
        </xdr:cNvCxnSpPr>
      </xdr:nvCxnSpPr>
      <xdr:spPr>
        <a:xfrm rot="10800000" flipV="1">
          <a:off x="7844791" y="3783330"/>
          <a:ext cx="1000129" cy="24765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17</xdr:row>
      <xdr:rowOff>171450</xdr:rowOff>
    </xdr:from>
    <xdr:to>
      <xdr:col>11</xdr:col>
      <xdr:colOff>590550</xdr:colOff>
      <xdr:row>20</xdr:row>
      <xdr:rowOff>133350</xdr:rowOff>
    </xdr:to>
    <xdr:sp macro="" textlink="">
      <xdr:nvSpPr>
        <xdr:cNvPr id="7" name="직사각형 6"/>
        <xdr:cNvSpPr/>
      </xdr:nvSpPr>
      <xdr:spPr>
        <a:xfrm>
          <a:off x="8578215" y="3478530"/>
          <a:ext cx="1514475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필요수량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매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8"/>
  <sheetViews>
    <sheetView tabSelected="1" workbookViewId="0">
      <selection activeCell="B28" sqref="B28"/>
    </sheetView>
  </sheetViews>
  <sheetFormatPr defaultColWidth="9" defaultRowHeight="15" customHeight="1" x14ac:dyDescent="0.3"/>
  <cols>
    <col min="1" max="1" width="0.625" style="2" customWidth="1"/>
    <col min="2" max="2" width="27.75" style="2" customWidth="1"/>
    <col min="3" max="3" width="7" style="2" hidden="1" customWidth="1"/>
    <col min="4" max="4" width="8.375" style="2" hidden="1" customWidth="1"/>
    <col min="5" max="5" width="7" style="2" customWidth="1"/>
    <col min="6" max="6" width="44.375" style="2" customWidth="1"/>
    <col min="7" max="8" width="9" style="2"/>
    <col min="9" max="9" width="9" style="3"/>
    <col min="10" max="14" width="9" style="2"/>
    <col min="15" max="16" width="9.625" style="2" bestFit="1" customWidth="1"/>
    <col min="17" max="16384" width="9" style="2"/>
  </cols>
  <sheetData>
    <row r="1" spans="2:17" ht="19.5" x14ac:dyDescent="0.3">
      <c r="B1" s="1" t="s">
        <v>0</v>
      </c>
    </row>
    <row r="2" spans="2:17" ht="15" customHeight="1" x14ac:dyDescent="0.3">
      <c r="F2" s="4" t="s">
        <v>1</v>
      </c>
      <c r="H2" s="5" t="s">
        <v>2</v>
      </c>
      <c r="I2" s="6" t="s">
        <v>3</v>
      </c>
    </row>
    <row r="3" spans="2:17" ht="15" customHeight="1" x14ac:dyDescent="0.3">
      <c r="C3" s="51" t="s">
        <v>4</v>
      </c>
      <c r="D3" s="51"/>
      <c r="E3" s="51"/>
      <c r="F3" s="4"/>
    </row>
    <row r="4" spans="2:17" s="7" customFormat="1" ht="15" customHeight="1" x14ac:dyDescent="0.3">
      <c r="B4" s="52" t="s">
        <v>5</v>
      </c>
      <c r="C4" s="54" t="s">
        <v>6</v>
      </c>
      <c r="D4" s="54"/>
      <c r="E4" s="54"/>
      <c r="F4" s="55" t="s">
        <v>7</v>
      </c>
      <c r="I4" s="8"/>
    </row>
    <row r="5" spans="2:17" s="7" customFormat="1" ht="15" customHeight="1" x14ac:dyDescent="0.3">
      <c r="B5" s="53"/>
      <c r="C5" s="9" t="s">
        <v>8</v>
      </c>
      <c r="D5" s="10" t="s">
        <v>9</v>
      </c>
      <c r="E5" s="11" t="s">
        <v>10</v>
      </c>
      <c r="F5" s="56"/>
      <c r="I5" s="8">
        <f>SUM(I6:I38)</f>
        <v>0</v>
      </c>
    </row>
    <row r="6" spans="2:17" ht="15" customHeight="1" x14ac:dyDescent="0.3">
      <c r="B6" s="12" t="s">
        <v>11</v>
      </c>
      <c r="C6" s="13">
        <v>2400</v>
      </c>
      <c r="D6" s="14">
        <v>2560</v>
      </c>
      <c r="E6" s="14">
        <v>2560</v>
      </c>
      <c r="F6" s="15" t="s">
        <v>12</v>
      </c>
      <c r="I6" s="3">
        <f t="shared" ref="I6:I38" si="0">H6/E6</f>
        <v>0</v>
      </c>
    </row>
    <row r="7" spans="2:17" ht="15" customHeight="1" x14ac:dyDescent="0.3">
      <c r="B7" s="16" t="s">
        <v>13</v>
      </c>
      <c r="C7" s="17">
        <v>1760</v>
      </c>
      <c r="D7" s="18">
        <v>1920</v>
      </c>
      <c r="E7" s="18">
        <v>1920</v>
      </c>
      <c r="F7" s="15" t="s">
        <v>12</v>
      </c>
      <c r="I7" s="3">
        <f t="shared" si="0"/>
        <v>0</v>
      </c>
      <c r="M7" s="2" t="s">
        <v>14</v>
      </c>
    </row>
    <row r="8" spans="2:17" ht="15" customHeight="1" x14ac:dyDescent="0.3">
      <c r="B8" s="16" t="s">
        <v>15</v>
      </c>
      <c r="C8" s="19">
        <v>1920</v>
      </c>
      <c r="D8" s="19">
        <v>1920</v>
      </c>
      <c r="E8" s="19">
        <v>1920</v>
      </c>
      <c r="F8" s="20"/>
      <c r="I8" s="3">
        <f t="shared" si="0"/>
        <v>0</v>
      </c>
      <c r="M8" s="2" t="s">
        <v>16</v>
      </c>
    </row>
    <row r="9" spans="2:17" ht="15" customHeight="1" x14ac:dyDescent="0.3">
      <c r="B9" s="16" t="s">
        <v>17</v>
      </c>
      <c r="C9" s="19">
        <v>1920</v>
      </c>
      <c r="D9" s="19">
        <v>1920</v>
      </c>
      <c r="E9" s="19">
        <v>1920</v>
      </c>
      <c r="F9" s="20"/>
      <c r="I9" s="3">
        <f t="shared" si="0"/>
        <v>0</v>
      </c>
    </row>
    <row r="10" spans="2:17" ht="15" customHeight="1" x14ac:dyDescent="0.3">
      <c r="B10" s="16" t="s">
        <v>18</v>
      </c>
      <c r="C10" s="19">
        <v>1760</v>
      </c>
      <c r="D10" s="19">
        <v>1760</v>
      </c>
      <c r="E10" s="19">
        <v>1760</v>
      </c>
      <c r="F10" s="20"/>
      <c r="I10" s="3">
        <f t="shared" si="0"/>
        <v>0</v>
      </c>
      <c r="M10" s="2" t="s">
        <v>19</v>
      </c>
    </row>
    <row r="11" spans="2:17" ht="15" customHeight="1" x14ac:dyDescent="0.3">
      <c r="B11" s="16" t="s">
        <v>20</v>
      </c>
      <c r="C11" s="19">
        <v>1600</v>
      </c>
      <c r="D11" s="19">
        <v>1440</v>
      </c>
      <c r="E11" s="19">
        <v>1440</v>
      </c>
      <c r="F11" s="20"/>
      <c r="I11" s="3">
        <f t="shared" si="0"/>
        <v>0</v>
      </c>
      <c r="M11" s="21" t="s">
        <v>21</v>
      </c>
    </row>
    <row r="12" spans="2:17" ht="15" customHeight="1" x14ac:dyDescent="0.3">
      <c r="B12" s="16" t="s">
        <v>22</v>
      </c>
      <c r="C12" s="19">
        <v>1600</v>
      </c>
      <c r="D12" s="19">
        <v>1440</v>
      </c>
      <c r="E12" s="19">
        <v>1440</v>
      </c>
      <c r="F12" s="20"/>
      <c r="I12" s="3">
        <f t="shared" si="0"/>
        <v>0</v>
      </c>
      <c r="M12" s="21" t="s">
        <v>23</v>
      </c>
    </row>
    <row r="13" spans="2:17" ht="15" customHeight="1" x14ac:dyDescent="0.3">
      <c r="B13" s="22" t="s">
        <v>24</v>
      </c>
      <c r="C13" s="23">
        <v>1600</v>
      </c>
      <c r="D13" s="23">
        <v>1440</v>
      </c>
      <c r="E13" s="23">
        <v>1440</v>
      </c>
      <c r="F13" s="24"/>
      <c r="I13" s="3">
        <f t="shared" si="0"/>
        <v>0</v>
      </c>
    </row>
    <row r="14" spans="2:17" ht="15" customHeight="1" x14ac:dyDescent="0.3">
      <c r="B14" s="12" t="s">
        <v>25</v>
      </c>
      <c r="C14" s="13">
        <v>1320</v>
      </c>
      <c r="D14" s="14">
        <v>1440</v>
      </c>
      <c r="E14" s="14">
        <v>1440</v>
      </c>
      <c r="F14" s="25"/>
      <c r="I14" s="3">
        <f t="shared" si="0"/>
        <v>0</v>
      </c>
      <c r="M14" s="2" t="s">
        <v>26</v>
      </c>
      <c r="Q14" s="26"/>
    </row>
    <row r="15" spans="2:17" ht="15" customHeight="1" x14ac:dyDescent="0.3">
      <c r="B15" s="16" t="s">
        <v>27</v>
      </c>
      <c r="C15" s="17">
        <v>1200</v>
      </c>
      <c r="D15" s="18">
        <v>1080</v>
      </c>
      <c r="E15" s="18">
        <v>1080</v>
      </c>
      <c r="F15" s="20"/>
      <c r="I15" s="3">
        <f t="shared" si="0"/>
        <v>0</v>
      </c>
      <c r="M15" s="2" t="s">
        <v>28</v>
      </c>
      <c r="N15" s="26"/>
      <c r="O15" s="26"/>
      <c r="P15" s="26"/>
    </row>
    <row r="16" spans="2:17" ht="15" customHeight="1" x14ac:dyDescent="0.3">
      <c r="B16" s="27" t="s">
        <v>29</v>
      </c>
      <c r="C16" s="17">
        <v>1800</v>
      </c>
      <c r="D16" s="18">
        <v>1920</v>
      </c>
      <c r="E16" s="18">
        <v>1920</v>
      </c>
      <c r="F16" s="20"/>
      <c r="I16" s="3">
        <f t="shared" si="0"/>
        <v>0</v>
      </c>
      <c r="M16" s="28"/>
      <c r="N16" s="26"/>
      <c r="O16" s="26"/>
      <c r="P16" s="26"/>
    </row>
    <row r="17" spans="2:16" ht="12" x14ac:dyDescent="0.3">
      <c r="B17" s="16" t="s">
        <v>30</v>
      </c>
      <c r="C17" s="17">
        <v>1200</v>
      </c>
      <c r="D17" s="18">
        <v>1440</v>
      </c>
      <c r="E17" s="18">
        <v>1440</v>
      </c>
      <c r="F17" s="20"/>
      <c r="I17" s="3">
        <f t="shared" si="0"/>
        <v>0</v>
      </c>
      <c r="M17" s="2" t="s">
        <v>31</v>
      </c>
      <c r="N17" s="29"/>
      <c r="O17" s="29"/>
      <c r="P17" s="29"/>
    </row>
    <row r="18" spans="2:16" ht="12" x14ac:dyDescent="0.3">
      <c r="B18" s="16" t="s">
        <v>32</v>
      </c>
      <c r="C18" s="17">
        <v>1200</v>
      </c>
      <c r="D18" s="18">
        <v>1440</v>
      </c>
      <c r="E18" s="18">
        <v>1440</v>
      </c>
      <c r="F18" s="20"/>
      <c r="I18" s="3">
        <f t="shared" si="0"/>
        <v>0</v>
      </c>
      <c r="M18" s="2" t="s">
        <v>33</v>
      </c>
      <c r="N18" s="29"/>
      <c r="O18" s="29"/>
      <c r="P18" s="29"/>
    </row>
    <row r="19" spans="2:16" ht="12" x14ac:dyDescent="0.3">
      <c r="B19" s="16" t="s">
        <v>34</v>
      </c>
      <c r="C19" s="17">
        <v>1200</v>
      </c>
      <c r="D19" s="18">
        <v>1440</v>
      </c>
      <c r="E19" s="18">
        <v>1440</v>
      </c>
      <c r="F19" s="20"/>
      <c r="I19" s="3">
        <f t="shared" si="0"/>
        <v>0</v>
      </c>
      <c r="M19" s="26" t="s">
        <v>35</v>
      </c>
    </row>
    <row r="20" spans="2:16" ht="12" x14ac:dyDescent="0.3">
      <c r="B20" s="16" t="s">
        <v>36</v>
      </c>
      <c r="C20" s="17">
        <v>1200</v>
      </c>
      <c r="D20" s="18">
        <v>1320</v>
      </c>
      <c r="E20" s="18">
        <v>1320</v>
      </c>
      <c r="F20" s="20"/>
      <c r="I20" s="3">
        <f t="shared" si="0"/>
        <v>0</v>
      </c>
    </row>
    <row r="21" spans="2:16" ht="12" x14ac:dyDescent="0.3">
      <c r="B21" s="16" t="s">
        <v>37</v>
      </c>
      <c r="C21" s="17">
        <v>1200</v>
      </c>
      <c r="D21" s="18">
        <v>1080</v>
      </c>
      <c r="E21" s="18">
        <v>1080</v>
      </c>
      <c r="F21" s="20"/>
      <c r="I21" s="3">
        <f t="shared" si="0"/>
        <v>0</v>
      </c>
      <c r="M21" s="2" t="s">
        <v>38</v>
      </c>
    </row>
    <row r="22" spans="2:16" ht="12" x14ac:dyDescent="0.3">
      <c r="B22" s="16" t="s">
        <v>39</v>
      </c>
      <c r="C22" s="17">
        <v>1200</v>
      </c>
      <c r="D22" s="18">
        <v>1080</v>
      </c>
      <c r="E22" s="18">
        <v>1080</v>
      </c>
      <c r="F22" s="20"/>
      <c r="I22" s="3">
        <f t="shared" si="0"/>
        <v>0</v>
      </c>
      <c r="M22" s="28" t="s">
        <v>40</v>
      </c>
      <c r="N22" s="26"/>
      <c r="O22" s="26"/>
      <c r="P22" s="26"/>
    </row>
    <row r="23" spans="2:16" ht="12" x14ac:dyDescent="0.3">
      <c r="B23" s="22" t="s">
        <v>41</v>
      </c>
      <c r="C23" s="30">
        <v>1200</v>
      </c>
      <c r="D23" s="31">
        <v>1080</v>
      </c>
      <c r="E23" s="31">
        <v>1080</v>
      </c>
      <c r="F23" s="24"/>
      <c r="I23" s="3">
        <f t="shared" si="0"/>
        <v>0</v>
      </c>
    </row>
    <row r="24" spans="2:16" ht="12" x14ac:dyDescent="0.3">
      <c r="B24" s="16" t="s">
        <v>42</v>
      </c>
      <c r="C24" s="17">
        <v>1320</v>
      </c>
      <c r="D24" s="18">
        <v>1440</v>
      </c>
      <c r="E24" s="18">
        <v>1440</v>
      </c>
      <c r="F24" s="20"/>
      <c r="I24" s="3">
        <f t="shared" si="0"/>
        <v>0</v>
      </c>
      <c r="M24" s="2" t="s">
        <v>43</v>
      </c>
    </row>
    <row r="25" spans="2:16" ht="12" x14ac:dyDescent="0.3">
      <c r="B25" s="22" t="s">
        <v>44</v>
      </c>
      <c r="C25" s="30">
        <v>840</v>
      </c>
      <c r="D25" s="31">
        <v>960</v>
      </c>
      <c r="E25" s="31">
        <v>960</v>
      </c>
      <c r="F25" s="24"/>
      <c r="I25" s="3">
        <f t="shared" si="0"/>
        <v>0</v>
      </c>
      <c r="M25" s="28"/>
    </row>
    <row r="26" spans="2:16" ht="12" x14ac:dyDescent="0.3">
      <c r="B26" s="12" t="s">
        <v>45</v>
      </c>
      <c r="C26" s="13">
        <v>1300</v>
      </c>
      <c r="D26" s="14">
        <v>1600</v>
      </c>
      <c r="E26" s="14">
        <v>1600</v>
      </c>
      <c r="F26" s="25"/>
      <c r="I26" s="3">
        <f t="shared" si="0"/>
        <v>0</v>
      </c>
      <c r="M26" s="2" t="s">
        <v>46</v>
      </c>
    </row>
    <row r="27" spans="2:16" ht="12" x14ac:dyDescent="0.3">
      <c r="B27" s="32" t="s">
        <v>47</v>
      </c>
      <c r="C27" s="33">
        <v>1000</v>
      </c>
      <c r="D27" s="34">
        <v>1100</v>
      </c>
      <c r="E27" s="34">
        <v>1100</v>
      </c>
      <c r="F27" s="35"/>
      <c r="I27" s="3">
        <f t="shared" si="0"/>
        <v>0</v>
      </c>
    </row>
    <row r="28" spans="2:16" ht="12" x14ac:dyDescent="0.3">
      <c r="B28" s="27" t="s">
        <v>48</v>
      </c>
      <c r="C28" s="17">
        <v>1200</v>
      </c>
      <c r="D28" s="18">
        <v>1440</v>
      </c>
      <c r="E28" s="18">
        <v>1440</v>
      </c>
      <c r="F28" s="20"/>
      <c r="I28" s="3">
        <f t="shared" si="0"/>
        <v>0</v>
      </c>
      <c r="M28" s="28"/>
    </row>
    <row r="29" spans="2:16" ht="12" x14ac:dyDescent="0.3">
      <c r="B29" s="16" t="s">
        <v>49</v>
      </c>
      <c r="C29" s="17">
        <v>840</v>
      </c>
      <c r="D29" s="18">
        <v>960</v>
      </c>
      <c r="E29" s="18">
        <v>960</v>
      </c>
      <c r="F29" s="20"/>
      <c r="I29" s="3">
        <f t="shared" si="0"/>
        <v>0</v>
      </c>
    </row>
    <row r="30" spans="2:16" ht="12" x14ac:dyDescent="0.3">
      <c r="B30" s="16" t="s">
        <v>50</v>
      </c>
      <c r="C30" s="17">
        <v>1100</v>
      </c>
      <c r="D30" s="18">
        <v>1200</v>
      </c>
      <c r="E30" s="18">
        <v>1200</v>
      </c>
      <c r="F30" s="20"/>
      <c r="I30" s="3">
        <f t="shared" si="0"/>
        <v>0</v>
      </c>
    </row>
    <row r="31" spans="2:16" ht="12" x14ac:dyDescent="0.3">
      <c r="B31" s="16" t="s">
        <v>51</v>
      </c>
      <c r="C31" s="17">
        <v>880</v>
      </c>
      <c r="D31" s="18">
        <v>960</v>
      </c>
      <c r="E31" s="18">
        <v>960</v>
      </c>
      <c r="F31" s="20"/>
      <c r="I31" s="3">
        <f t="shared" si="0"/>
        <v>0</v>
      </c>
      <c r="O31" s="36"/>
      <c r="P31" s="37"/>
    </row>
    <row r="32" spans="2:16" ht="12" x14ac:dyDescent="0.3">
      <c r="B32" s="22" t="s">
        <v>52</v>
      </c>
      <c r="C32" s="30">
        <v>960</v>
      </c>
      <c r="D32" s="31">
        <v>960</v>
      </c>
      <c r="E32" s="31">
        <v>960</v>
      </c>
      <c r="F32" s="24"/>
      <c r="I32" s="3">
        <f t="shared" si="0"/>
        <v>0</v>
      </c>
      <c r="O32" s="36"/>
      <c r="P32" s="38"/>
    </row>
    <row r="33" spans="2:13" ht="12" x14ac:dyDescent="0.3">
      <c r="B33" s="12" t="s">
        <v>53</v>
      </c>
      <c r="C33" s="13">
        <v>960</v>
      </c>
      <c r="D33" s="14">
        <v>1080</v>
      </c>
      <c r="E33" s="14">
        <v>1080</v>
      </c>
      <c r="F33" s="39"/>
      <c r="I33" s="3">
        <f t="shared" si="0"/>
        <v>0</v>
      </c>
    </row>
    <row r="34" spans="2:13" ht="12" x14ac:dyDescent="0.3">
      <c r="B34" s="16" t="s">
        <v>54</v>
      </c>
      <c r="C34" s="17">
        <v>750</v>
      </c>
      <c r="D34" s="18">
        <v>750</v>
      </c>
      <c r="E34" s="18">
        <v>750</v>
      </c>
      <c r="F34" s="40"/>
      <c r="I34" s="3">
        <f t="shared" si="0"/>
        <v>0</v>
      </c>
      <c r="M34" s="28"/>
    </row>
    <row r="35" spans="2:13" ht="12" x14ac:dyDescent="0.3">
      <c r="B35" s="41" t="s">
        <v>55</v>
      </c>
      <c r="C35" s="33">
        <v>640</v>
      </c>
      <c r="D35" s="34">
        <v>720</v>
      </c>
      <c r="E35" s="34">
        <v>720</v>
      </c>
      <c r="F35" s="42"/>
      <c r="I35" s="3">
        <f t="shared" si="0"/>
        <v>0</v>
      </c>
      <c r="M35" s="28"/>
    </row>
    <row r="36" spans="2:13" s="47" customFormat="1" ht="12" x14ac:dyDescent="0.3">
      <c r="B36" s="43" t="s">
        <v>56</v>
      </c>
      <c r="C36" s="44">
        <v>21000</v>
      </c>
      <c r="D36" s="45">
        <v>24000</v>
      </c>
      <c r="E36" s="45">
        <v>24000</v>
      </c>
      <c r="F36" s="46"/>
      <c r="I36" s="3">
        <f t="shared" si="0"/>
        <v>0</v>
      </c>
      <c r="M36" s="48"/>
    </row>
    <row r="37" spans="2:13" ht="12" x14ac:dyDescent="0.3">
      <c r="B37" s="49" t="s">
        <v>57</v>
      </c>
      <c r="C37" s="49"/>
      <c r="D37" s="49">
        <v>1200</v>
      </c>
      <c r="E37" s="49">
        <v>1200</v>
      </c>
      <c r="F37" s="49"/>
      <c r="I37" s="3">
        <f t="shared" si="0"/>
        <v>0</v>
      </c>
      <c r="M37" s="48"/>
    </row>
    <row r="38" spans="2:13" ht="12" x14ac:dyDescent="0.3">
      <c r="B38" s="50" t="s">
        <v>58</v>
      </c>
      <c r="C38" s="50"/>
      <c r="D38" s="50">
        <v>1200</v>
      </c>
      <c r="E38" s="50">
        <v>1200</v>
      </c>
      <c r="F38" s="50"/>
      <c r="I38" s="3">
        <f t="shared" si="0"/>
        <v>0</v>
      </c>
    </row>
  </sheetData>
  <mergeCells count="4">
    <mergeCell ref="C3:E3"/>
    <mergeCell ref="B4:B5"/>
    <mergeCell ref="C4:E4"/>
    <mergeCell ref="F4:F5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DSNEW</cp:lastModifiedBy>
  <dcterms:created xsi:type="dcterms:W3CDTF">2023-11-22T07:01:01Z</dcterms:created>
  <dcterms:modified xsi:type="dcterms:W3CDTF">2024-05-24T08:42:00Z</dcterms:modified>
</cp:coreProperties>
</file>